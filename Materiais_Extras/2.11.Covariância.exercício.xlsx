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sch\Desktop\"/>
    </mc:Choice>
  </mc:AlternateContent>
  <xr:revisionPtr revIDLastSave="0" documentId="13_ncr:1_{91DDD65E-0BB4-407C-8317-CB25590BC5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3" l="1"/>
  <c r="D11" i="11"/>
  <c r="C11" i="11"/>
  <c r="G10" i="11" s="1"/>
  <c r="D11" i="10"/>
  <c r="G7" i="10" s="1"/>
  <c r="C11" i="10"/>
  <c r="G10" i="10" s="1"/>
  <c r="G7" i="11" l="1"/>
  <c r="G6" i="10"/>
  <c r="G9" i="11"/>
  <c r="G8" i="10"/>
  <c r="G9" i="10"/>
  <c r="G8" i="11"/>
  <c r="G6" i="11"/>
  <c r="G11" i="11" s="1"/>
  <c r="G13" i="11" s="1"/>
  <c r="G11" i="10" l="1"/>
  <c r="G13" i="10" s="1"/>
</calcChain>
</file>

<file path=xl/sharedStrings.xml><?xml version="1.0" encoding="utf-8"?>
<sst xmlns="http://schemas.openxmlformats.org/spreadsheetml/2006/main" count="31" uniqueCount="21">
  <si>
    <t>Covariância</t>
  </si>
  <si>
    <t>Notas SAT</t>
  </si>
  <si>
    <t>Background</t>
  </si>
  <si>
    <t>Você tem as notas SAT de Leitura e Escrita de diversos estudantes de nossa aula sobre tabelas pivô e gráficos de dispersão</t>
  </si>
  <si>
    <t>Tarefa 1</t>
  </si>
  <si>
    <t>Determine se é uma amostra ou população</t>
  </si>
  <si>
    <t>Tarefa 2</t>
  </si>
  <si>
    <t>Calcule a covariância dos dois datasets</t>
  </si>
  <si>
    <t>Tarefa 3</t>
  </si>
  <si>
    <t>Plote os dados em um gráfico de dispersão e usando seu conhecimento prévio, comente sobre uma possível relação entre as duas variáveis.</t>
  </si>
  <si>
    <t>Escrita</t>
  </si>
  <si>
    <t>Leitura</t>
  </si>
  <si>
    <t>(x-x̅)*(y-ȳ)</t>
  </si>
  <si>
    <t>Covariance</t>
  </si>
  <si>
    <t>Housing data</t>
  </si>
  <si>
    <t>Size (ft.)</t>
  </si>
  <si>
    <t>Price ($)</t>
  </si>
  <si>
    <t>Mean</t>
  </si>
  <si>
    <t>Sum</t>
  </si>
  <si>
    <t>Sample size</t>
  </si>
  <si>
    <t>Cov.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</si>
</sst>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00_);\-\ #,##0.00_)"/>
    <numFmt numFmtId="167" formatCode="_(* #,##0_);_(* \(#,##0\);_(* &quot;-&quot;??_);_(@_)"/>
    <numFmt numFmtId="168" formatCode="#,##0_);\-\ #,##0_)"/>
    <numFmt numFmtId="169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9"/>
      <color theme="1"/>
      <name val="Arial"/>
      <charset val="204"/>
    </font>
    <font>
      <b/>
      <sz val="12"/>
      <color rgb="FF002060"/>
      <name val="Arial"/>
      <charset val="204"/>
    </font>
    <font>
      <b/>
      <sz val="9"/>
      <color rgb="FF002060"/>
      <name val="Arial"/>
      <charset val="134"/>
    </font>
    <font>
      <b/>
      <sz val="9"/>
      <color rgb="FF002060"/>
      <name val="Arial"/>
      <charset val="20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9" fontId="6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7" fontId="1" fillId="2" borderId="0" xfId="1" applyNumberFormat="1" applyFont="1" applyFill="1"/>
    <xf numFmtId="168" fontId="1" fillId="2" borderId="0" xfId="1" applyNumberFormat="1" applyFont="1" applyFill="1"/>
    <xf numFmtId="0" fontId="1" fillId="2" borderId="2" xfId="0" applyFont="1" applyFill="1" applyBorder="1"/>
    <xf numFmtId="167" fontId="1" fillId="2" borderId="2" xfId="1" applyNumberFormat="1" applyFont="1" applyFill="1" applyBorder="1"/>
    <xf numFmtId="168" fontId="1" fillId="2" borderId="2" xfId="1" applyNumberFormat="1" applyFont="1" applyFill="1" applyBorder="1"/>
    <xf numFmtId="0" fontId="3" fillId="2" borderId="0" xfId="0" applyFont="1" applyFill="1" applyAlignment="1">
      <alignment horizontal="right"/>
    </xf>
    <xf numFmtId="0" fontId="1" fillId="2" borderId="0" xfId="0" applyFont="1" applyFill="1" applyBorder="1"/>
    <xf numFmtId="167" fontId="1" fillId="2" borderId="0" xfId="1" applyNumberFormat="1" applyFont="1" applyFill="1" applyBorder="1"/>
    <xf numFmtId="169" fontId="1" fillId="2" borderId="0" xfId="1" applyNumberFormat="1" applyFont="1" applyFill="1"/>
    <xf numFmtId="169" fontId="1" fillId="2" borderId="0" xfId="0" applyNumberFormat="1" applyFont="1" applyFill="1"/>
    <xf numFmtId="0" fontId="2" fillId="2" borderId="1" xfId="0" applyFont="1" applyFill="1" applyBorder="1" applyAlignment="1">
      <alignment horizontal="right"/>
    </xf>
    <xf numFmtId="0" fontId="5" fillId="2" borderId="0" xfId="0" applyFont="1" applyFill="1" applyAlignment="1">
      <alignment vertical="center"/>
    </xf>
    <xf numFmtId="166" fontId="1" fillId="2" borderId="0" xfId="1" applyNumberFormat="1" applyFont="1" applyFill="1"/>
    <xf numFmtId="0" fontId="5" fillId="2" borderId="2" xfId="0" applyFont="1" applyFill="1" applyBorder="1" applyAlignment="1">
      <alignment vertical="center"/>
    </xf>
    <xf numFmtId="166" fontId="1" fillId="2" borderId="0" xfId="1" applyNumberFormat="1" applyFont="1" applyFill="1" applyBorder="1"/>
    <xf numFmtId="168" fontId="1" fillId="2" borderId="0" xfId="1" applyNumberFormat="1" applyFont="1" applyFill="1" applyBorder="1"/>
    <xf numFmtId="0" fontId="3" fillId="2" borderId="0" xfId="0" applyFont="1" applyFill="1" applyBorder="1"/>
    <xf numFmtId="169" fontId="1" fillId="2" borderId="0" xfId="0" applyNumberFormat="1" applyFont="1" applyFill="1" applyBorder="1"/>
    <xf numFmtId="169" fontId="1" fillId="2" borderId="0" xfId="1" applyFont="1" applyFill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Covariance!$D$11</c:f>
              <c:strCache>
                <c:ptCount val="1"/>
                <c:pt idx="0">
                  <c:v>Leitura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73-4AFF-898B-B3BA1CAA3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371720"/>
        <c:axId val="496362208"/>
      </c:scatterChart>
      <c:valAx>
        <c:axId val="496371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362208"/>
        <c:crosses val="autoZero"/>
        <c:crossBetween val="midCat"/>
      </c:valAx>
      <c:valAx>
        <c:axId val="49636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371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1-4F12-81E5-0FD837793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pt-BR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114300</xdr:rowOff>
    </xdr:from>
    <xdr:to>
      <xdr:col>15</xdr:col>
      <xdr:colOff>514350</xdr:colOff>
      <xdr:row>26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23E095-D1E9-402F-8676-9ADF0C42F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"/>
  <sheetViews>
    <sheetView tabSelected="1" topLeftCell="A4" workbookViewId="0">
      <selection activeCell="E21" sqref="E21"/>
    </sheetView>
  </sheetViews>
  <sheetFormatPr defaultColWidth="9.140625" defaultRowHeight="12"/>
  <cols>
    <col min="1" max="1" width="2" style="1" customWidth="1"/>
    <col min="2" max="2" width="5.42578125" style="1" customWidth="1"/>
    <col min="3" max="3" width="7.5703125" style="1" customWidth="1"/>
    <col min="4" max="4" width="11.140625" style="1" customWidth="1"/>
    <col min="5" max="5" width="9.140625" style="1"/>
    <col min="6" max="6" width="18.7109375" style="1" customWidth="1"/>
    <col min="7" max="7" width="14" style="1" customWidth="1"/>
    <col min="8" max="11" width="9.140625" style="1"/>
    <col min="12" max="12" width="4.85546875" style="1" customWidth="1"/>
    <col min="13" max="16384" width="9.140625" style="1"/>
  </cols>
  <sheetData>
    <row r="1" spans="2:13" ht="15.75">
      <c r="B1" s="2" t="s">
        <v>0</v>
      </c>
      <c r="F1" s="11"/>
      <c r="G1" s="11"/>
      <c r="H1" s="11"/>
    </row>
    <row r="2" spans="2:13">
      <c r="B2" s="3" t="s">
        <v>1</v>
      </c>
      <c r="F2" s="11"/>
      <c r="G2" s="11"/>
      <c r="H2" s="11"/>
    </row>
    <row r="3" spans="2:13">
      <c r="B3" s="3"/>
      <c r="F3" s="11"/>
      <c r="G3" s="11"/>
      <c r="H3" s="11"/>
    </row>
    <row r="4" spans="2:13">
      <c r="B4" s="3" t="s">
        <v>2</v>
      </c>
      <c r="D4" s="1" t="s">
        <v>3</v>
      </c>
      <c r="F4" s="11"/>
      <c r="G4" s="11"/>
      <c r="H4" s="11"/>
    </row>
    <row r="5" spans="2:13">
      <c r="B5" s="3" t="s">
        <v>4</v>
      </c>
      <c r="D5" s="1" t="s">
        <v>5</v>
      </c>
      <c r="F5" s="11"/>
      <c r="G5" s="11"/>
      <c r="H5" s="11"/>
    </row>
    <row r="6" spans="2:13">
      <c r="B6" s="3" t="s">
        <v>6</v>
      </c>
      <c r="D6" s="1" t="s">
        <v>7</v>
      </c>
      <c r="F6" s="11"/>
      <c r="G6" s="11"/>
      <c r="H6" s="11"/>
    </row>
    <row r="7" spans="2:13">
      <c r="B7" s="3" t="s">
        <v>8</v>
      </c>
      <c r="D7" s="1" t="s">
        <v>9</v>
      </c>
      <c r="F7" s="11"/>
      <c r="G7" s="11"/>
      <c r="H7" s="11"/>
    </row>
    <row r="8" spans="2:13">
      <c r="F8" s="11"/>
      <c r="G8" s="11"/>
      <c r="H8" s="11"/>
    </row>
    <row r="9" spans="2:13">
      <c r="B9" s="3"/>
      <c r="F9" s="11"/>
      <c r="G9" s="11"/>
      <c r="H9" s="11"/>
    </row>
    <row r="10" spans="2:13">
      <c r="B10" s="3"/>
      <c r="F10" s="11"/>
      <c r="G10" s="11"/>
      <c r="H10" s="11"/>
    </row>
    <row r="11" spans="2:13" ht="15.75">
      <c r="C11" s="4" t="s">
        <v>10</v>
      </c>
      <c r="D11" s="4" t="s">
        <v>11</v>
      </c>
      <c r="G11" s="15" t="s">
        <v>12</v>
      </c>
      <c r="H11" s="11"/>
      <c r="J11" s="3"/>
    </row>
    <row r="12" spans="2:13">
      <c r="C12" s="16">
        <v>344</v>
      </c>
      <c r="D12" s="16">
        <v>378</v>
      </c>
      <c r="G12" s="1">
        <f>_xlfn.COVARIANCE.S(C12:C16,D12:D16)</f>
        <v>21155.55</v>
      </c>
      <c r="H12" s="11"/>
      <c r="J12" s="3"/>
      <c r="M12" s="23"/>
    </row>
    <row r="13" spans="2:13">
      <c r="C13" s="16">
        <v>383</v>
      </c>
      <c r="D13" s="16">
        <v>349</v>
      </c>
      <c r="H13" s="11"/>
      <c r="J13" s="3"/>
    </row>
    <row r="14" spans="2:13">
      <c r="C14" s="16">
        <v>611</v>
      </c>
      <c r="D14" s="16">
        <v>503</v>
      </c>
      <c r="G14" s="17"/>
      <c r="H14" s="11"/>
    </row>
    <row r="15" spans="2:13">
      <c r="C15" s="16">
        <v>713</v>
      </c>
      <c r="D15" s="16">
        <v>719</v>
      </c>
      <c r="G15" s="17"/>
      <c r="H15" s="11"/>
    </row>
    <row r="16" spans="2:13">
      <c r="C16" s="18">
        <v>536</v>
      </c>
      <c r="D16" s="18">
        <v>503</v>
      </c>
      <c r="G16" s="17"/>
      <c r="H16" s="11"/>
    </row>
    <row r="17" spans="2:8">
      <c r="H17" s="11"/>
    </row>
    <row r="18" spans="2:8">
      <c r="B18" s="10"/>
      <c r="C18" s="5"/>
      <c r="D18" s="5"/>
      <c r="F18" s="3"/>
      <c r="G18" s="19"/>
      <c r="H18" s="11"/>
    </row>
    <row r="19" spans="2:8">
      <c r="B19" s="3"/>
      <c r="C19" s="13"/>
      <c r="D19" s="13"/>
      <c r="F19" s="3"/>
      <c r="G19" s="20"/>
      <c r="H19" s="11"/>
    </row>
    <row r="20" spans="2:8">
      <c r="B20" s="3"/>
      <c r="C20" s="5"/>
      <c r="D20" s="5"/>
      <c r="F20" s="3"/>
      <c r="G20" s="17"/>
      <c r="H20" s="11"/>
    </row>
    <row r="21" spans="2:8">
      <c r="F21" s="11"/>
      <c r="G21" s="11"/>
      <c r="H21" s="11"/>
    </row>
    <row r="22" spans="2:8">
      <c r="F22" s="21"/>
      <c r="G22" s="22"/>
      <c r="H22" s="11"/>
    </row>
    <row r="23" spans="2:8">
      <c r="F23" s="11"/>
      <c r="G23" s="11"/>
      <c r="H23" s="11"/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6"/>
  <sheetViews>
    <sheetView workbookViewId="0">
      <selection activeCell="G6" sqref="G6"/>
    </sheetView>
  </sheetViews>
  <sheetFormatPr defaultColWidth="9.140625" defaultRowHeight="12"/>
  <cols>
    <col min="1" max="1" width="2" style="1" customWidth="1"/>
    <col min="2" max="2" width="5.42578125" style="1" customWidth="1"/>
    <col min="3" max="3" width="7.5703125" style="1" customWidth="1"/>
    <col min="4" max="4" width="9.5703125" style="1" customWidth="1"/>
    <col min="5" max="5" width="9.140625" style="1"/>
    <col min="6" max="6" width="18.7109375" style="1" customWidth="1"/>
    <col min="7" max="7" width="14" style="1" customWidth="1"/>
    <col min="8" max="16384" width="9.140625" style="1"/>
  </cols>
  <sheetData>
    <row r="1" spans="2:7" ht="15.75">
      <c r="B1" s="2" t="s">
        <v>13</v>
      </c>
    </row>
    <row r="2" spans="2:7">
      <c r="B2" s="3" t="s">
        <v>14</v>
      </c>
    </row>
    <row r="5" spans="2:7">
      <c r="C5" s="4" t="s">
        <v>15</v>
      </c>
      <c r="D5" s="4" t="s">
        <v>16</v>
      </c>
      <c r="G5" s="4" t="s">
        <v>12</v>
      </c>
    </row>
    <row r="6" spans="2:7">
      <c r="C6" s="5">
        <v>650</v>
      </c>
      <c r="D6" s="5">
        <v>772000</v>
      </c>
      <c r="G6" s="6">
        <f>(C6-$C$11)*(D6-$D$11)</f>
        <v>34776000</v>
      </c>
    </row>
    <row r="7" spans="2:7">
      <c r="C7" s="5">
        <v>785</v>
      </c>
      <c r="D7" s="5">
        <v>998000</v>
      </c>
      <c r="G7" s="6">
        <f>(C7-$C$11)*(D7-$D$11)</f>
        <v>-5265000</v>
      </c>
    </row>
    <row r="8" spans="2:7">
      <c r="C8" s="5">
        <v>1200</v>
      </c>
      <c r="D8" s="5">
        <v>1200000</v>
      </c>
      <c r="G8" s="6">
        <f>(C8-$C$11)*(D8-$D$11)</f>
        <v>89178000</v>
      </c>
    </row>
    <row r="9" spans="2:7">
      <c r="C9" s="5">
        <v>720</v>
      </c>
      <c r="D9" s="5">
        <v>800000</v>
      </c>
      <c r="G9" s="6">
        <f>(C9-$C$11)*(D9-$D$11)</f>
        <v>19418000</v>
      </c>
    </row>
    <row r="10" spans="2:7">
      <c r="C10" s="8">
        <v>975</v>
      </c>
      <c r="D10" s="8">
        <v>895000</v>
      </c>
      <c r="G10" s="9">
        <f>(C10-$C$11)*(D10-$D$11)</f>
        <v>-4142000</v>
      </c>
    </row>
    <row r="11" spans="2:7">
      <c r="B11" s="10" t="s">
        <v>17</v>
      </c>
      <c r="C11" s="5">
        <f>AVERAGE(C6:C10)</f>
        <v>866</v>
      </c>
      <c r="D11" s="5">
        <f>AVERAGE(D6:D10)</f>
        <v>933000</v>
      </c>
      <c r="F11" s="3" t="s">
        <v>18</v>
      </c>
      <c r="G11" s="6">
        <f>SUM(G6:G10)</f>
        <v>133965000</v>
      </c>
    </row>
    <row r="12" spans="2:7">
      <c r="B12" s="3"/>
      <c r="C12" s="12"/>
      <c r="D12" s="5"/>
      <c r="F12" s="3" t="s">
        <v>19</v>
      </c>
      <c r="G12" s="6">
        <v>5</v>
      </c>
    </row>
    <row r="13" spans="2:7">
      <c r="B13" s="3"/>
      <c r="C13" s="13"/>
      <c r="D13" s="13"/>
      <c r="F13" s="3" t="s">
        <v>20</v>
      </c>
      <c r="G13" s="6">
        <f>G11/4</f>
        <v>33491250</v>
      </c>
    </row>
    <row r="14" spans="2:7">
      <c r="B14" s="3"/>
      <c r="C14" s="5"/>
      <c r="D14" s="5"/>
      <c r="F14" s="3"/>
      <c r="G14" s="14"/>
    </row>
    <row r="16" spans="2:7">
      <c r="F16" s="3"/>
      <c r="G16" s="14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6"/>
  <sheetViews>
    <sheetView zoomScale="130" zoomScaleNormal="130" workbookViewId="0"/>
  </sheetViews>
  <sheetFormatPr defaultColWidth="9.140625" defaultRowHeight="12"/>
  <cols>
    <col min="1" max="1" width="2" style="1" customWidth="1"/>
    <col min="2" max="2" width="5.42578125" style="1" customWidth="1"/>
    <col min="3" max="3" width="7.5703125" style="1" customWidth="1"/>
    <col min="4" max="4" width="9.5703125" style="1" customWidth="1"/>
    <col min="5" max="5" width="9.140625" style="1"/>
    <col min="6" max="6" width="18.7109375" style="1" customWidth="1"/>
    <col min="7" max="7" width="14" style="1" customWidth="1"/>
    <col min="8" max="16384" width="9.140625" style="1"/>
  </cols>
  <sheetData>
    <row r="1" spans="2:7" ht="15.75">
      <c r="B1" s="2" t="s">
        <v>13</v>
      </c>
    </row>
    <row r="2" spans="2:7">
      <c r="B2" s="3" t="s">
        <v>14</v>
      </c>
    </row>
    <row r="5" spans="2:7">
      <c r="C5" s="4" t="s">
        <v>15</v>
      </c>
      <c r="D5" s="4" t="s">
        <v>16</v>
      </c>
      <c r="G5" s="4" t="s">
        <v>12</v>
      </c>
    </row>
    <row r="6" spans="2:7">
      <c r="C6" s="1">
        <v>650</v>
      </c>
      <c r="D6" s="5">
        <v>772000</v>
      </c>
      <c r="G6" s="6">
        <f>(C6-$C$11)*(D6-$D$11)</f>
        <v>34776000</v>
      </c>
    </row>
    <row r="7" spans="2:7">
      <c r="C7" s="1">
        <v>785</v>
      </c>
      <c r="D7" s="5">
        <v>998000</v>
      </c>
      <c r="G7" s="6">
        <f>(C7-$C$11)*(D7-$D$11)</f>
        <v>-5265000</v>
      </c>
    </row>
    <row r="8" spans="2:7">
      <c r="C8" s="1">
        <v>1200</v>
      </c>
      <c r="D8" s="5">
        <v>1200000</v>
      </c>
      <c r="G8" s="6">
        <f>(C8-$C$11)*(D8-$D$11)</f>
        <v>89178000</v>
      </c>
    </row>
    <row r="9" spans="2:7">
      <c r="C9" s="1">
        <v>720</v>
      </c>
      <c r="D9" s="5">
        <v>800000</v>
      </c>
      <c r="G9" s="6">
        <f>(C9-$C$11)*(D9-$D$11)</f>
        <v>19418000</v>
      </c>
    </row>
    <row r="10" spans="2:7">
      <c r="C10" s="7">
        <v>975</v>
      </c>
      <c r="D10" s="8">
        <v>895000</v>
      </c>
      <c r="G10" s="9">
        <f>(C10-$C$11)*(D10-$D$11)</f>
        <v>-4142000</v>
      </c>
    </row>
    <row r="11" spans="2:7">
      <c r="B11" s="10" t="s">
        <v>17</v>
      </c>
      <c r="C11" s="11">
        <f>AVERAGE(C6:C10)</f>
        <v>866</v>
      </c>
      <c r="D11" s="5">
        <f>AVERAGE(D6:D10)</f>
        <v>933000</v>
      </c>
      <c r="F11" s="3" t="s">
        <v>18</v>
      </c>
      <c r="G11" s="6">
        <f>SUM(G6:G10)</f>
        <v>133965000</v>
      </c>
    </row>
    <row r="12" spans="2:7">
      <c r="B12" s="3"/>
      <c r="C12" s="12"/>
      <c r="D12" s="5"/>
      <c r="F12" s="3" t="s">
        <v>19</v>
      </c>
      <c r="G12" s="6">
        <v>5</v>
      </c>
    </row>
    <row r="13" spans="2:7">
      <c r="B13" s="3"/>
      <c r="C13" s="13"/>
      <c r="D13" s="13"/>
      <c r="F13" s="3" t="s">
        <v>20</v>
      </c>
      <c r="G13" s="6">
        <f>G11/4</f>
        <v>33491250</v>
      </c>
    </row>
    <row r="14" spans="2:7">
      <c r="B14" s="3"/>
      <c r="C14" s="5"/>
      <c r="D14" s="5"/>
      <c r="F14" s="3"/>
      <c r="G14" s="14"/>
    </row>
    <row r="16" spans="2:7">
      <c r="F16" s="3"/>
      <c r="G16" s="14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pasch</cp:lastModifiedBy>
  <dcterms:created xsi:type="dcterms:W3CDTF">2017-03-21T13:09:00Z</dcterms:created>
  <dcterms:modified xsi:type="dcterms:W3CDTF">2021-12-26T12:19:19Z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1046-11.2.0.8641</vt:lpwstr>
  </property>
</Properties>
</file>